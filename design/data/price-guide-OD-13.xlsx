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تعليمات" sheetId="1" state="visible" r:id="rId3"/>
    <sheet name="دليل الأسعار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<sst xmlns="http://schemas.openxmlformats.org/spreadsheetml/2006/main" count="317" uniqueCount="100">
  <si>
    <t xml:space="preserve">دليل الأسعار — بريمو (OD-13)</t>
  </si>
  <si>
    <t xml:space="preserve">المطلوب: املأ عمودي «أقل سعر» و«أعلى سعر» بالجنيه لكل نوع مشكلة في ورقة «دليل الأسعار».</t>
  </si>
  <si>
    <t xml:space="preserve">الخلايا الصفراء فقط هي اللي تتعدل. باقي الأعمدة ثابتة أو محسوبة.</t>
  </si>
  <si>
    <t xml:space="preserve">السعر = سعر المصنعية للتنفيذ بعد المعاينة، من غير الخامات (الخامات مقترح منفصل).</t>
  </si>
  <si>
    <t xml:space="preserve">الأنواع المفعّلة إلزامية (DEC-055). الأنواع في الفئات المخفية اختيارية، لكن لازم تتملي قبل تفعيل الفئة.</t>
  </si>
  <si>
    <t xml:space="preserve">«مشكلة أخرى» مقترح إعفاؤها من النطاق، وكل سعر فيها يتعلّم للإدارة للمراجعة — عمود «الحالة» بيعاملها كده.</t>
  </si>
  <si>
    <t xml:space="preserve">عمود «الحالة» بيقولك: ناقص / الأقل أكبر من الأعلى / تمام.</t>
  </si>
  <si>
    <t xml:space="preserve">مثال للشكل فقط (مش سعر مقترح): أقل سعر = 150 ، أعلى سعر = 400</t>
  </si>
  <si>
    <t xml:space="preserve">بعد ما تخلص: ابعت الملف لـ Codex يستورده كـ seeder، أو يدخله من لوحة الإدارة.</t>
  </si>
  <si>
    <t xml:space="preserve">الفئة</t>
  </si>
  <si>
    <t xml:space="preserve">نوع المشكلة</t>
  </si>
  <si>
    <t xml:space="preserve">الفئة مفعّلة؟</t>
  </si>
  <si>
    <t xml:space="preserve">إلزامي؟</t>
  </si>
  <si>
    <t xml:space="preserve">أقل سعر (جنيه)</t>
  </si>
  <si>
    <t xml:space="preserve">أعلى سعر (جنيه)</t>
  </si>
  <si>
    <t xml:space="preserve">ملاحظات</t>
  </si>
  <si>
    <t xml:space="preserve">الحالة</t>
  </si>
  <si>
    <t xml:space="preserve">سباكة</t>
  </si>
  <si>
    <t xml:space="preserve">تسريب مياه</t>
  </si>
  <si>
    <t xml:space="preserve">نعم</t>
  </si>
  <si>
    <t xml:space="preserve">انسداد صرف</t>
  </si>
  <si>
    <t xml:space="preserve">تركيب أو تغيير خلاط</t>
  </si>
  <si>
    <t xml:space="preserve">تركيب أو صيانة سخان</t>
  </si>
  <si>
    <t xml:space="preserve">تركيب أدوات صحية</t>
  </si>
  <si>
    <t xml:space="preserve">صيانة سيفون أو صندوق طرد</t>
  </si>
  <si>
    <t xml:space="preserve">ضعف ضغط المياه</t>
  </si>
  <si>
    <t xml:space="preserve">تركيب فلتر مياه</t>
  </si>
  <si>
    <t xml:space="preserve">مشكلة أخرى</t>
  </si>
  <si>
    <t xml:space="preserve">معفى</t>
  </si>
  <si>
    <t xml:space="preserve">كهرباء</t>
  </si>
  <si>
    <t xml:space="preserve">انقطاع الكهرباء عن جزء من الشقة</t>
  </si>
  <si>
    <t xml:space="preserve">فصل القاطع باستمرار</t>
  </si>
  <si>
    <t xml:space="preserve">تركيب إضاءة أو نجف</t>
  </si>
  <si>
    <t xml:space="preserve">تركيب أو تغيير فيش ومفاتيح</t>
  </si>
  <si>
    <t xml:space="preserve">تمديد خط كهرباء جديد</t>
  </si>
  <si>
    <t xml:space="preserve">تركيب مروحة سقف</t>
  </si>
  <si>
    <t xml:space="preserve">تركيب أو صيانة لوحة كهرباء</t>
  </si>
  <si>
    <t xml:space="preserve">تركيب جرس أو إنتركم</t>
  </si>
  <si>
    <t xml:space="preserve">تكييفات</t>
  </si>
  <si>
    <t xml:space="preserve">التكييف لا يبرد</t>
  </si>
  <si>
    <t xml:space="preserve">تسريب مياه من التكييف</t>
  </si>
  <si>
    <t xml:space="preserve">صوت عالي</t>
  </si>
  <si>
    <t xml:space="preserve">شحن فريون</t>
  </si>
  <si>
    <t xml:space="preserve">تنظيف وصيانة دورية</t>
  </si>
  <si>
    <t xml:space="preserve">تركيب تكييف جديد</t>
  </si>
  <si>
    <t xml:space="preserve">فك ونقل تكييف</t>
  </si>
  <si>
    <t xml:space="preserve">أجهزة منزلية</t>
  </si>
  <si>
    <t xml:space="preserve">صيانة غسالة</t>
  </si>
  <si>
    <t xml:space="preserve">صيانة ثلاجة أو ديب فريزر</t>
  </si>
  <si>
    <t xml:space="preserve">صيانة بوتاجاز أو فرن</t>
  </si>
  <si>
    <t xml:space="preserve">صيانة ميكروويف</t>
  </si>
  <si>
    <t xml:space="preserve">صيانة غسالة أطباق</t>
  </si>
  <si>
    <t xml:space="preserve">تركيب جهاز جديد</t>
  </si>
  <si>
    <t xml:space="preserve">نجارة</t>
  </si>
  <si>
    <t xml:space="preserve">إصلاح أو ضبط باب</t>
  </si>
  <si>
    <t xml:space="preserve">تغيير كالون أو مفصلات</t>
  </si>
  <si>
    <t xml:space="preserve">فتح باب مقفول</t>
  </si>
  <si>
    <t xml:space="preserve">إصلاح دولاب أو مطبخ</t>
  </si>
  <si>
    <t xml:space="preserve">فك وتركيب أثاث</t>
  </si>
  <si>
    <t xml:space="preserve">تركيب أرفف</t>
  </si>
  <si>
    <t xml:space="preserve">دهانات</t>
  </si>
  <si>
    <t xml:space="preserve">دهان غرفة</t>
  </si>
  <si>
    <t xml:space="preserve">دهان شقة كاملة</t>
  </si>
  <si>
    <t xml:space="preserve">معالجة رطوبة وتقشير</t>
  </si>
  <si>
    <t xml:space="preserve">ترميم شروخ ومعجون</t>
  </si>
  <si>
    <t xml:space="preserve">ورق حائط</t>
  </si>
  <si>
    <t xml:space="preserve">تركيبات منزلية متفرقة</t>
  </si>
  <si>
    <t xml:space="preserve">تركيب ستائر وجرارات</t>
  </si>
  <si>
    <t xml:space="preserve">تعليق شاشة على الحائط</t>
  </si>
  <si>
    <t xml:space="preserve">تعليق لوحات ومرايات</t>
  </si>
  <si>
    <t xml:space="preserve">تركيب إكسسوارات حمام</t>
  </si>
  <si>
    <t xml:space="preserve">تجميع أثاث جاهز</t>
  </si>
  <si>
    <t xml:space="preserve">ألوميتال وزجاج</t>
  </si>
  <si>
    <t xml:space="preserve">إصلاح شباك أو باب ألوميتال</t>
  </si>
  <si>
    <t xml:space="preserve">تغيير زجاج مكسور</t>
  </si>
  <si>
    <t xml:space="preserve">تركيب سلك ناموسية</t>
  </si>
  <si>
    <t xml:space="preserve">تغيير عجل أو كوالين</t>
  </si>
  <si>
    <t xml:space="preserve">حدادة</t>
  </si>
  <si>
    <t xml:space="preserve">إصلاح باب أو شباك حديد</t>
  </si>
  <si>
    <t xml:space="preserve">لا</t>
  </si>
  <si>
    <t xml:space="preserve">اختياري</t>
  </si>
  <si>
    <t xml:space="preserve">لحام</t>
  </si>
  <si>
    <t xml:space="preserve">تركيب حماية شبابيك</t>
  </si>
  <si>
    <t xml:space="preserve">سيراميك وأرضيات</t>
  </si>
  <si>
    <t xml:space="preserve">تغيير بلاطات مكسورة</t>
  </si>
  <si>
    <t xml:space="preserve">ترويب</t>
  </si>
  <si>
    <t xml:space="preserve">تركيب لمساحة صغيرة</t>
  </si>
  <si>
    <t xml:space="preserve">دش وستالايت</t>
  </si>
  <si>
    <t xml:space="preserve">ضبط الدش</t>
  </si>
  <si>
    <t xml:space="preserve">تركيب دش جديد</t>
  </si>
  <si>
    <t xml:space="preserve">مشكلة إشارة أو ريسيفر</t>
  </si>
  <si>
    <t xml:space="preserve">تنظيف خزانات المياه</t>
  </si>
  <si>
    <t xml:space="preserve">تنظيف وتعقيم خزان</t>
  </si>
  <si>
    <t xml:space="preserve">مكافحة حشرات</t>
  </si>
  <si>
    <t xml:space="preserve">رش شقة</t>
  </si>
  <si>
    <t xml:space="preserve">مكافحة نوع معين</t>
  </si>
  <si>
    <t xml:space="preserve">عدد الأنواع الإلزامية</t>
  </si>
  <si>
    <t xml:space="preserve">منها مكتمل</t>
  </si>
  <si>
    <t xml:space="preserve">منها ناقص أو فيه خطأ</t>
  </si>
  <si>
    <t xml:space="preserve">كل الأسعار بتدخلها إنت (المالك). مفيش أرقام مقترحة في الملف.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</si>
</sst>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7617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9C94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4F4F8"/>
        <bgColor rgb="FFE4F8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4E8"/>
      </left>
      <right style="thin">
        <color rgb="FFE0E4E8"/>
      </right>
      <top style="thin">
        <color rgb="FFE0E4E8"/>
      </top>
      <bottom style="thin">
        <color rgb="FFE0E4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D8"/>
        </patternFill>
      </fill>
    </dxf>
    <dxf>
      <fill>
        <patternFill>
          <bgColor rgb="FFE4F8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4F8"/>
      <rgbColor rgb="FFE4F8F6"/>
      <rgbColor rgb="FF660066"/>
      <rgbColor rgb="FFFF8080"/>
      <rgbColor rgb="FF0066CC"/>
      <rgbColor rgb="FFE0E4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8"/>
      <rgbColor rgb="FF3366FF"/>
      <rgbColor rgb="FF33CCCC"/>
      <rgbColor rgb="FF99CC00"/>
      <rgbColor rgb="FFFFCC00"/>
      <rgbColor rgb="FFFF9900"/>
      <rgbColor rgb="FFFF6600"/>
      <rgbColor rgb="FF57617B"/>
      <rgbColor rgb="FF969696"/>
      <rgbColor rgb="FF003366"/>
      <rgbColor rgb="FF149C94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6"/>
    <col collapsed="false" customWidth="true" hidden="false" outlineLevel="0" max="7" min="7" style="0" width="34"/>
    <col collapsed="false" customWidth="true" hidden="false" outlineLevel="0" max="8" min="8" style="0" width="26"/>
  </cols>
  <sheetData>
    <row r="1" customFormat="false" ht="30" hidden="false" customHeight="tru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</row>
    <row r="2" customFormat="false" ht="15" hidden="false" customHeight="false" outlineLevel="0" collapsed="false">
      <c r="A2" s="5" t="s">
        <v>17</v>
      </c>
      <c r="B2" s="5" t="s">
        <v>18</v>
      </c>
      <c r="C2" s="5" t="s">
        <v>19</v>
      </c>
      <c r="D2" s="5" t="s">
        <v>19</v>
      </c>
      <c r="E2" s="6"/>
      <c r="F2" s="6"/>
      <c r="G2" s="7"/>
      <c r="H2" s="5" t="str">
        <f aca="false">IF(D2="معفى","معفى — يتعلّم للإدارة",IF(AND(E2="",F2=""),IF(D2="نعم","ناقص","اختياري"),IF(OR(E2="",F2=""),"ناقص",IF(E2&gt;F2,"الأقل أكبر من الأعلى",IF(E2&lt;=0,"السعر لازم يكون أكبر من صفر","تمام")))))</f>
        <v>ناقص</v>
      </c>
    </row>
    <row r="3" customFormat="false" ht="15" hidden="false" customHeight="false" outlineLevel="0" collapsed="false">
      <c r="A3" s="5" t="s">
        <v>17</v>
      </c>
      <c r="B3" s="5" t="s">
        <v>20</v>
      </c>
      <c r="C3" s="5" t="s">
        <v>19</v>
      </c>
      <c r="D3" s="5" t="s">
        <v>19</v>
      </c>
      <c r="E3" s="6"/>
      <c r="F3" s="6"/>
      <c r="G3" s="7"/>
      <c r="H3" s="5" t="str">
        <f aca="false">IF(D3="معفى","معفى — يتعلّم للإدارة",IF(AND(E3="",F3=""),IF(D3="نعم","ناقص","اختياري"),IF(OR(E3="",F3=""),"ناقص",IF(E3&gt;F3,"الأقل أكبر من الأعلى",IF(E3&lt;=0,"السعر لازم يكون أكبر من صفر","تمام")))))</f>
        <v>ناقص</v>
      </c>
    </row>
    <row r="4" customFormat="false" ht="15" hidden="false" customHeight="false" outlineLevel="0" collapsed="false">
      <c r="A4" s="5" t="s">
        <v>17</v>
      </c>
      <c r="B4" s="5" t="s">
        <v>21</v>
      </c>
      <c r="C4" s="5" t="s">
        <v>19</v>
      </c>
      <c r="D4" s="5" t="s">
        <v>19</v>
      </c>
      <c r="E4" s="6"/>
      <c r="F4" s="6"/>
      <c r="G4" s="7"/>
      <c r="H4" s="5" t="str">
        <f aca="false">IF(D4="معفى","معفى — يتعلّم للإدارة",IF(AND(E4="",F4=""),IF(D4="نعم","ناقص","اختياري"),IF(OR(E4="",F4=""),"ناقص",IF(E4&gt;F4,"الأقل أكبر من الأعلى",IF(E4&lt;=0,"السعر لازم يكون أكبر من صفر","تمام")))))</f>
        <v>ناقص</v>
      </c>
    </row>
    <row r="5" customFormat="false" ht="15" hidden="false" customHeight="false" outlineLevel="0" collapsed="false">
      <c r="A5" s="5" t="s">
        <v>17</v>
      </c>
      <c r="B5" s="5" t="s">
        <v>22</v>
      </c>
      <c r="C5" s="5" t="s">
        <v>19</v>
      </c>
      <c r="D5" s="5" t="s">
        <v>19</v>
      </c>
      <c r="E5" s="6"/>
      <c r="F5" s="6"/>
      <c r="G5" s="7"/>
      <c r="H5" s="5" t="str">
        <f aca="false">IF(D5="معفى","معفى — يتعلّم للإدارة",IF(AND(E5="",F5=""),IF(D5="نعم","ناقص","اختياري"),IF(OR(E5="",F5=""),"ناقص",IF(E5&gt;F5,"الأقل أكبر من الأعلى",IF(E5&lt;=0,"السعر لازم يكون أكبر من صفر","تمام")))))</f>
        <v>ناقص</v>
      </c>
    </row>
    <row r="6" customFormat="false" ht="15" hidden="false" customHeight="false" outlineLevel="0" collapsed="false">
      <c r="A6" s="5" t="s">
        <v>17</v>
      </c>
      <c r="B6" s="5" t="s">
        <v>23</v>
      </c>
      <c r="C6" s="5" t="s">
        <v>19</v>
      </c>
      <c r="D6" s="5" t="s">
        <v>19</v>
      </c>
      <c r="E6" s="6"/>
      <c r="F6" s="6"/>
      <c r="G6" s="7"/>
      <c r="H6" s="5" t="str">
        <f aca="false">IF(D6="معفى","معفى — يتعلّم للإدارة",IF(AND(E6="",F6=""),IF(D6="نعم","ناقص","اختياري"),IF(OR(E6="",F6=""),"ناقص",IF(E6&gt;F6,"الأقل أكبر من الأعلى",IF(E6&lt;=0,"السعر لازم يكون أكبر من صفر","تمام")))))</f>
        <v>ناقص</v>
      </c>
    </row>
    <row r="7" customFormat="false" ht="15" hidden="false" customHeight="false" outlineLevel="0" collapsed="false">
      <c r="A7" s="5" t="s">
        <v>17</v>
      </c>
      <c r="B7" s="5" t="s">
        <v>24</v>
      </c>
      <c r="C7" s="5" t="s">
        <v>19</v>
      </c>
      <c r="D7" s="5" t="s">
        <v>19</v>
      </c>
      <c r="E7" s="6"/>
      <c r="F7" s="6"/>
      <c r="G7" s="7"/>
      <c r="H7" s="5" t="str">
        <f aca="false">IF(D7="معفى","معفى — يتعلّم للإدارة",IF(AND(E7="",F7=""),IF(D7="نعم","ناقص","اختياري"),IF(OR(E7="",F7=""),"ناقص",IF(E7&gt;F7,"الأقل أكبر من الأعلى",IF(E7&lt;=0,"السعر لازم يكون أكبر من صفر","تمام")))))</f>
        <v>ناقص</v>
      </c>
    </row>
    <row r="8" customFormat="false" ht="15" hidden="false" customHeight="false" outlineLevel="0" collapsed="false">
      <c r="A8" s="5" t="s">
        <v>17</v>
      </c>
      <c r="B8" s="5" t="s">
        <v>25</v>
      </c>
      <c r="C8" s="5" t="s">
        <v>19</v>
      </c>
      <c r="D8" s="5" t="s">
        <v>19</v>
      </c>
      <c r="E8" s="6"/>
      <c r="F8" s="6"/>
      <c r="G8" s="7"/>
      <c r="H8" s="5" t="str">
        <f aca="false">IF(D8="معفى","معفى — يتعلّم للإدارة",IF(AND(E8="",F8=""),IF(D8="نعم","ناقص","اختياري"),IF(OR(E8="",F8=""),"ناقص",IF(E8&gt;F8,"الأقل أكبر من الأعلى",IF(E8&lt;=0,"السعر لازم يكون أكبر من صفر","تمام")))))</f>
        <v>ناقص</v>
      </c>
    </row>
    <row r="9" customFormat="false" ht="15" hidden="false" customHeight="false" outlineLevel="0" collapsed="false">
      <c r="A9" s="5" t="s">
        <v>17</v>
      </c>
      <c r="B9" s="5" t="s">
        <v>26</v>
      </c>
      <c r="C9" s="5" t="s">
        <v>19</v>
      </c>
      <c r="D9" s="5" t="s">
        <v>19</v>
      </c>
      <c r="E9" s="6"/>
      <c r="F9" s="6"/>
      <c r="G9" s="7"/>
      <c r="H9" s="5" t="str">
        <f aca="false">IF(D9="معفى","معفى — يتعلّم للإدارة",IF(AND(E9="",F9=""),IF(D9="نعم","ناقص","اختياري"),IF(OR(E9="",F9=""),"ناقص",IF(E9&gt;F9,"الأقل أكبر من الأعلى",IF(E9&lt;=0,"السعر لازم يكون أكبر من صفر","تمام")))))</f>
        <v>ناقص</v>
      </c>
    </row>
    <row r="10" customFormat="false" ht="15" hidden="false" customHeight="false" outlineLevel="0" collapsed="false">
      <c r="A10" s="8" t="s">
        <v>17</v>
      </c>
      <c r="B10" s="8" t="s">
        <v>27</v>
      </c>
      <c r="C10" s="8" t="s">
        <v>19</v>
      </c>
      <c r="D10" s="8" t="s">
        <v>28</v>
      </c>
      <c r="E10" s="9"/>
      <c r="F10" s="9"/>
      <c r="G10" s="10"/>
      <c r="H10" s="5" t="str">
        <f aca="false">IF(D10="معفى","معفى — يتعلّم للإدارة",IF(AND(E10="",F10=""),IF(D10="نعم","ناقص","اختياري"),IF(OR(E10="",F10=""),"ناقص",IF(E10&gt;F10,"الأقل أكبر من الأعلى",IF(E10&lt;=0,"السعر لازم يكون أكبر من صفر","تمام")))))</f>
        <v>معفى — يتعلّم للإدارة</v>
      </c>
    </row>
    <row r="11" customFormat="false" ht="15" hidden="false" customHeight="false" outlineLevel="0" collapsed="false">
      <c r="A11" s="5" t="s">
        <v>29</v>
      </c>
      <c r="B11" s="5" t="s">
        <v>30</v>
      </c>
      <c r="C11" s="5" t="s">
        <v>19</v>
      </c>
      <c r="D11" s="5" t="s">
        <v>19</v>
      </c>
      <c r="E11" s="6"/>
      <c r="F11" s="6"/>
      <c r="G11" s="7"/>
      <c r="H11" s="5" t="str">
        <f aca="false">IF(D11="معفى","معفى — يتعلّم للإدارة",IF(AND(E11="",F11=""),IF(D11="نعم","ناقص","اختياري"),IF(OR(E11="",F11=""),"ناقص",IF(E11&gt;F11,"الأقل أكبر من الأعلى",IF(E11&lt;=0,"السعر لازم يكون أكبر من صفر","تمام")))))</f>
        <v>ناقص</v>
      </c>
    </row>
    <row r="12" customFormat="false" ht="15" hidden="false" customHeight="false" outlineLevel="0" collapsed="false">
      <c r="A12" s="5" t="s">
        <v>29</v>
      </c>
      <c r="B12" s="5" t="s">
        <v>31</v>
      </c>
      <c r="C12" s="5" t="s">
        <v>19</v>
      </c>
      <c r="D12" s="5" t="s">
        <v>19</v>
      </c>
      <c r="E12" s="6"/>
      <c r="F12" s="6"/>
      <c r="G12" s="7"/>
      <c r="H12" s="5" t="str">
        <f aca="false">IF(D12="معفى","معفى — يتعلّم للإدارة",IF(AND(E12="",F12=""),IF(D12="نعم","ناقص","اختياري"),IF(OR(E12="",F12=""),"ناقص",IF(E12&gt;F12,"الأقل أكبر من الأعلى",IF(E12&lt;=0,"السعر لازم يكون أكبر من صفر","تمام")))))</f>
        <v>ناقص</v>
      </c>
    </row>
    <row r="13" customFormat="false" ht="15" hidden="false" customHeight="false" outlineLevel="0" collapsed="false">
      <c r="A13" s="5" t="s">
        <v>29</v>
      </c>
      <c r="B13" s="5" t="s">
        <v>32</v>
      </c>
      <c r="C13" s="5" t="s">
        <v>19</v>
      </c>
      <c r="D13" s="5" t="s">
        <v>19</v>
      </c>
      <c r="E13" s="6"/>
      <c r="F13" s="6"/>
      <c r="G13" s="7"/>
      <c r="H13" s="5" t="str">
        <f aca="false">IF(D13="معفى","معفى — يتعلّم للإدارة",IF(AND(E13="",F13=""),IF(D13="نعم","ناقص","اختياري"),IF(OR(E13="",F13=""),"ناقص",IF(E13&gt;F13,"الأقل أكبر من الأعلى",IF(E13&lt;=0,"السعر لازم يكون أكبر من صفر","تمام")))))</f>
        <v>ناقص</v>
      </c>
    </row>
    <row r="14" customFormat="false" ht="15" hidden="false" customHeight="false" outlineLevel="0" collapsed="false">
      <c r="A14" s="5" t="s">
        <v>29</v>
      </c>
      <c r="B14" s="5" t="s">
        <v>33</v>
      </c>
      <c r="C14" s="5" t="s">
        <v>19</v>
      </c>
      <c r="D14" s="5" t="s">
        <v>19</v>
      </c>
      <c r="E14" s="6"/>
      <c r="F14" s="6"/>
      <c r="G14" s="7"/>
      <c r="H14" s="5" t="str">
        <f aca="false">IF(D14="معفى","معفى — يتعلّم للإدارة",IF(AND(E14="",F14=""),IF(D14="نعم","ناقص","اختياري"),IF(OR(E14="",F14=""),"ناقص",IF(E14&gt;F14,"الأقل أكبر من الأعلى",IF(E14&lt;=0,"السعر لازم يكون أكبر من صفر","تمام")))))</f>
        <v>ناقص</v>
      </c>
    </row>
    <row r="15" customFormat="false" ht="15" hidden="false" customHeight="false" outlineLevel="0" collapsed="false">
      <c r="A15" s="5" t="s">
        <v>29</v>
      </c>
      <c r="B15" s="5" t="s">
        <v>34</v>
      </c>
      <c r="C15" s="5" t="s">
        <v>19</v>
      </c>
      <c r="D15" s="5" t="s">
        <v>19</v>
      </c>
      <c r="E15" s="6"/>
      <c r="F15" s="6"/>
      <c r="G15" s="7"/>
      <c r="H15" s="5" t="str">
        <f aca="false">IF(D15="معفى","معفى — يتعلّم للإدارة",IF(AND(E15="",F15=""),IF(D15="نعم","ناقص","اختياري"),IF(OR(E15="",F15=""),"ناقص",IF(E15&gt;F15,"الأقل أكبر من الأعلى",IF(E15&lt;=0,"السعر لازم يكون أكبر من صفر","تمام")))))</f>
        <v>ناقص</v>
      </c>
    </row>
    <row r="16" customFormat="false" ht="15" hidden="false" customHeight="false" outlineLevel="0" collapsed="false">
      <c r="A16" s="5" t="s">
        <v>29</v>
      </c>
      <c r="B16" s="5" t="s">
        <v>35</v>
      </c>
      <c r="C16" s="5" t="s">
        <v>19</v>
      </c>
      <c r="D16" s="5" t="s">
        <v>19</v>
      </c>
      <c r="E16" s="6"/>
      <c r="F16" s="6"/>
      <c r="G16" s="7"/>
      <c r="H16" s="5" t="str">
        <f aca="false">IF(D16="معفى","معفى — يتعلّم للإدارة",IF(AND(E16="",F16=""),IF(D16="نعم","ناقص","اختياري"),IF(OR(E16="",F16=""),"ناقص",IF(E16&gt;F16,"الأقل أكبر من الأعلى",IF(E16&lt;=0,"السعر لازم يكون أكبر من صفر","تمام")))))</f>
        <v>ناقص</v>
      </c>
    </row>
    <row r="17" customFormat="false" ht="15" hidden="false" customHeight="false" outlineLevel="0" collapsed="false">
      <c r="A17" s="5" t="s">
        <v>29</v>
      </c>
      <c r="B17" s="5" t="s">
        <v>36</v>
      </c>
      <c r="C17" s="5" t="s">
        <v>19</v>
      </c>
      <c r="D17" s="5" t="s">
        <v>19</v>
      </c>
      <c r="E17" s="6"/>
      <c r="F17" s="6"/>
      <c r="G17" s="7"/>
      <c r="H17" s="5" t="str">
        <f aca="false">IF(D17="معفى","معفى — يتعلّم للإدارة",IF(AND(E17="",F17=""),IF(D17="نعم","ناقص","اختياري"),IF(OR(E17="",F17=""),"ناقص",IF(E17&gt;F17,"الأقل أكبر من الأعلى",IF(E17&lt;=0,"السعر لازم يكون أكبر من صفر","تمام")))))</f>
        <v>ناقص</v>
      </c>
    </row>
    <row r="18" customFormat="false" ht="15" hidden="false" customHeight="false" outlineLevel="0" collapsed="false">
      <c r="A18" s="5" t="s">
        <v>29</v>
      </c>
      <c r="B18" s="5" t="s">
        <v>37</v>
      </c>
      <c r="C18" s="5" t="s">
        <v>19</v>
      </c>
      <c r="D18" s="5" t="s">
        <v>19</v>
      </c>
      <c r="E18" s="6"/>
      <c r="F18" s="6"/>
      <c r="G18" s="7"/>
      <c r="H18" s="5" t="str">
        <f aca="false">IF(D18="معفى","معفى — يتعلّم للإدارة",IF(AND(E18="",F18=""),IF(D18="نعم","ناقص","اختياري"),IF(OR(E18="",F18=""),"ناقص",IF(E18&gt;F18,"الأقل أكبر من الأعلى",IF(E18&lt;=0,"السعر لازم يكون أكبر من صفر","تمام")))))</f>
        <v>ناقص</v>
      </c>
    </row>
    <row r="19" customFormat="false" ht="15" hidden="false" customHeight="false" outlineLevel="0" collapsed="false">
      <c r="A19" s="8" t="s">
        <v>29</v>
      </c>
      <c r="B19" s="8" t="s">
        <v>27</v>
      </c>
      <c r="C19" s="8" t="s">
        <v>19</v>
      </c>
      <c r="D19" s="8" t="s">
        <v>28</v>
      </c>
      <c r="E19" s="9"/>
      <c r="F19" s="9"/>
      <c r="G19" s="10"/>
      <c r="H19" s="5" t="str">
        <f aca="false">IF(D19="معفى","معفى — يتعلّم للإدارة",IF(AND(E19="",F19=""),IF(D19="نعم","ناقص","اختياري"),IF(OR(E19="",F19=""),"ناقص",IF(E19&gt;F19,"الأقل أكبر من الأعلى",IF(E19&lt;=0,"السعر لازم يكون أكبر من صفر","تمام")))))</f>
        <v>معفى — يتعلّم للإدارة</v>
      </c>
    </row>
    <row r="20" customFormat="false" ht="15" hidden="false" customHeight="false" outlineLevel="0" collapsed="false">
      <c r="A20" s="5" t="s">
        <v>38</v>
      </c>
      <c r="B20" s="5" t="s">
        <v>39</v>
      </c>
      <c r="C20" s="5" t="s">
        <v>19</v>
      </c>
      <c r="D20" s="5" t="s">
        <v>19</v>
      </c>
      <c r="E20" s="6"/>
      <c r="F20" s="6"/>
      <c r="G20" s="7"/>
      <c r="H20" s="5" t="str">
        <f aca="false">IF(D20="معفى","معفى — يتعلّم للإدارة",IF(AND(E20="",F20=""),IF(D20="نعم","ناقص","اختياري"),IF(OR(E20="",F20=""),"ناقص",IF(E20&gt;F20,"الأقل أكبر من الأعلى",IF(E20&lt;=0,"السعر لازم يكون أكبر من صفر","تمام")))))</f>
        <v>ناقص</v>
      </c>
    </row>
    <row r="21" customFormat="false" ht="15" hidden="false" customHeight="false" outlineLevel="0" collapsed="false">
      <c r="A21" s="5" t="s">
        <v>38</v>
      </c>
      <c r="B21" s="5" t="s">
        <v>40</v>
      </c>
      <c r="C21" s="5" t="s">
        <v>19</v>
      </c>
      <c r="D21" s="5" t="s">
        <v>19</v>
      </c>
      <c r="E21" s="6"/>
      <c r="F21" s="6"/>
      <c r="G21" s="7"/>
      <c r="H21" s="5" t="str">
        <f aca="false">IF(D21="معفى","معفى — يتعلّم للإدارة",IF(AND(E21="",F21=""),IF(D21="نعم","ناقص","اختياري"),IF(OR(E21="",F21=""),"ناقص",IF(E21&gt;F21,"الأقل أكبر من الأعلى",IF(E21&lt;=0,"السعر لازم يكون أكبر من صفر","تمام")))))</f>
        <v>ناقص</v>
      </c>
    </row>
    <row r="22" customFormat="false" ht="15" hidden="false" customHeight="false" outlineLevel="0" collapsed="false">
      <c r="A22" s="5" t="s">
        <v>38</v>
      </c>
      <c r="B22" s="5" t="s">
        <v>41</v>
      </c>
      <c r="C22" s="5" t="s">
        <v>19</v>
      </c>
      <c r="D22" s="5" t="s">
        <v>19</v>
      </c>
      <c r="E22" s="6"/>
      <c r="F22" s="6"/>
      <c r="G22" s="7"/>
      <c r="H22" s="5" t="str">
        <f aca="false">IF(D22="معفى","معفى — يتعلّم للإدارة",IF(AND(E22="",F22=""),IF(D22="نعم","ناقص","اختياري"),IF(OR(E22="",F22=""),"ناقص",IF(E22&gt;F22,"الأقل أكبر من الأعلى",IF(E22&lt;=0,"السعر لازم يكون أكبر من صفر","تمام")))))</f>
        <v>ناقص</v>
      </c>
    </row>
    <row r="23" customFormat="false" ht="15" hidden="false" customHeight="false" outlineLevel="0" collapsed="false">
      <c r="A23" s="5" t="s">
        <v>38</v>
      </c>
      <c r="B23" s="5" t="s">
        <v>42</v>
      </c>
      <c r="C23" s="5" t="s">
        <v>19</v>
      </c>
      <c r="D23" s="5" t="s">
        <v>19</v>
      </c>
      <c r="E23" s="6"/>
      <c r="F23" s="6"/>
      <c r="G23" s="7"/>
      <c r="H23" s="5" t="str">
        <f aca="false">IF(D23="معفى","معفى — يتعلّم للإدارة",IF(AND(E23="",F23=""),IF(D23="نعم","ناقص","اختياري"),IF(OR(E23="",F23=""),"ناقص",IF(E23&gt;F23,"الأقل أكبر من الأعلى",IF(E23&lt;=0,"السعر لازم يكون أكبر من صفر","تمام")))))</f>
        <v>ناقص</v>
      </c>
    </row>
    <row r="24" customFormat="false" ht="15" hidden="false" customHeight="false" outlineLevel="0" collapsed="false">
      <c r="A24" s="5" t="s">
        <v>38</v>
      </c>
      <c r="B24" s="5" t="s">
        <v>43</v>
      </c>
      <c r="C24" s="5" t="s">
        <v>19</v>
      </c>
      <c r="D24" s="5" t="s">
        <v>19</v>
      </c>
      <c r="E24" s="6"/>
      <c r="F24" s="6"/>
      <c r="G24" s="7"/>
      <c r="H24" s="5" t="str">
        <f aca="false">IF(D24="معفى","معفى — يتعلّم للإدارة",IF(AND(E24="",F24=""),IF(D24="نعم","ناقص","اختياري"),IF(OR(E24="",F24=""),"ناقص",IF(E24&gt;F24,"الأقل أكبر من الأعلى",IF(E24&lt;=0,"السعر لازم يكون أكبر من صفر","تمام")))))</f>
        <v>ناقص</v>
      </c>
    </row>
    <row r="25" customFormat="false" ht="15" hidden="false" customHeight="false" outlineLevel="0" collapsed="false">
      <c r="A25" s="5" t="s">
        <v>38</v>
      </c>
      <c r="B25" s="5" t="s">
        <v>44</v>
      </c>
      <c r="C25" s="5" t="s">
        <v>19</v>
      </c>
      <c r="D25" s="5" t="s">
        <v>19</v>
      </c>
      <c r="E25" s="6"/>
      <c r="F25" s="6"/>
      <c r="G25" s="7"/>
      <c r="H25" s="5" t="str">
        <f aca="false">IF(D25="معفى","معفى — يتعلّم للإدارة",IF(AND(E25="",F25=""),IF(D25="نعم","ناقص","اختياري"),IF(OR(E25="",F25=""),"ناقص",IF(E25&gt;F25,"الأقل أكبر من الأعلى",IF(E25&lt;=0,"السعر لازم يكون أكبر من صفر","تمام")))))</f>
        <v>ناقص</v>
      </c>
    </row>
    <row r="26" customFormat="false" ht="15" hidden="false" customHeight="false" outlineLevel="0" collapsed="false">
      <c r="A26" s="5" t="s">
        <v>38</v>
      </c>
      <c r="B26" s="5" t="s">
        <v>45</v>
      </c>
      <c r="C26" s="5" t="s">
        <v>19</v>
      </c>
      <c r="D26" s="5" t="s">
        <v>19</v>
      </c>
      <c r="E26" s="6"/>
      <c r="F26" s="6"/>
      <c r="G26" s="7"/>
      <c r="H26" s="5" t="str">
        <f aca="false">IF(D26="معفى","معفى — يتعلّم للإدارة",IF(AND(E26="",F26=""),IF(D26="نعم","ناقص","اختياري"),IF(OR(E26="",F26=""),"ناقص",IF(E26&gt;F26,"الأقل أكبر من الأعلى",IF(E26&lt;=0,"السعر لازم يكون أكبر من صفر","تمام")))))</f>
        <v>ناقص</v>
      </c>
    </row>
    <row r="27" customFormat="false" ht="15" hidden="false" customHeight="false" outlineLevel="0" collapsed="false">
      <c r="A27" s="8" t="s">
        <v>38</v>
      </c>
      <c r="B27" s="8" t="s">
        <v>27</v>
      </c>
      <c r="C27" s="8" t="s">
        <v>19</v>
      </c>
      <c r="D27" s="8" t="s">
        <v>28</v>
      </c>
      <c r="E27" s="9"/>
      <c r="F27" s="9"/>
      <c r="G27" s="10"/>
      <c r="H27" s="5" t="str">
        <f aca="false">IF(D27="معفى","معفى — يتعلّم للإدارة",IF(AND(E27="",F27=""),IF(D27="نعم","ناقص","اختياري"),IF(OR(E27="",F27=""),"ناقص",IF(E27&gt;F27,"الأقل أكبر من الأعلى",IF(E27&lt;=0,"السعر لازم يكون أكبر من صفر","تمام")))))</f>
        <v>معفى — يتعلّم للإدارة</v>
      </c>
    </row>
    <row r="28" customFormat="false" ht="15" hidden="false" customHeight="false" outlineLevel="0" collapsed="false">
      <c r="A28" s="5" t="s">
        <v>46</v>
      </c>
      <c r="B28" s="5" t="s">
        <v>47</v>
      </c>
      <c r="C28" s="5" t="s">
        <v>19</v>
      </c>
      <c r="D28" s="5" t="s">
        <v>19</v>
      </c>
      <c r="E28" s="6"/>
      <c r="F28" s="6"/>
      <c r="G28" s="7"/>
      <c r="H28" s="5" t="str">
        <f aca="false">IF(D28="معفى","معفى — يتعلّم للإدارة",IF(AND(E28="",F28=""),IF(D28="نعم","ناقص","اختياري"),IF(OR(E28="",F28=""),"ناقص",IF(E28&gt;F28,"الأقل أكبر من الأعلى",IF(E28&lt;=0,"السعر لازم يكون أكبر من صفر","تمام")))))</f>
        <v>ناقص</v>
      </c>
    </row>
    <row r="29" customFormat="false" ht="15" hidden="false" customHeight="false" outlineLevel="0" collapsed="false">
      <c r="A29" s="5" t="s">
        <v>46</v>
      </c>
      <c r="B29" s="5" t="s">
        <v>48</v>
      </c>
      <c r="C29" s="5" t="s">
        <v>19</v>
      </c>
      <c r="D29" s="5" t="s">
        <v>19</v>
      </c>
      <c r="E29" s="6"/>
      <c r="F29" s="6"/>
      <c r="G29" s="7"/>
      <c r="H29" s="5" t="str">
        <f aca="false">IF(D29="معفى","معفى — يتعلّم للإدارة",IF(AND(E29="",F29=""),IF(D29="نعم","ناقص","اختياري"),IF(OR(E29="",F29=""),"ناقص",IF(E29&gt;F29,"الأقل أكبر من الأعلى",IF(E29&lt;=0,"السعر لازم يكون أكبر من صفر","تمام")))))</f>
        <v>ناقص</v>
      </c>
    </row>
    <row r="30" customFormat="false" ht="15" hidden="false" customHeight="false" outlineLevel="0" collapsed="false">
      <c r="A30" s="5" t="s">
        <v>46</v>
      </c>
      <c r="B30" s="5" t="s">
        <v>49</v>
      </c>
      <c r="C30" s="5" t="s">
        <v>19</v>
      </c>
      <c r="D30" s="5" t="s">
        <v>19</v>
      </c>
      <c r="E30" s="6"/>
      <c r="F30" s="6"/>
      <c r="G30" s="7"/>
      <c r="H30" s="5" t="str">
        <f aca="false">IF(D30="معفى","معفى — يتعلّم للإدارة",IF(AND(E30="",F30=""),IF(D30="نعم","ناقص","اختياري"),IF(OR(E30="",F30=""),"ناقص",IF(E30&gt;F30,"الأقل أكبر من الأعلى",IF(E30&lt;=0,"السعر لازم يكون أكبر من صفر","تمام")))))</f>
        <v>ناقص</v>
      </c>
    </row>
    <row r="31" customFormat="false" ht="15" hidden="false" customHeight="false" outlineLevel="0" collapsed="false">
      <c r="A31" s="5" t="s">
        <v>46</v>
      </c>
      <c r="B31" s="5" t="s">
        <v>50</v>
      </c>
      <c r="C31" s="5" t="s">
        <v>19</v>
      </c>
      <c r="D31" s="5" t="s">
        <v>19</v>
      </c>
      <c r="E31" s="6"/>
      <c r="F31" s="6"/>
      <c r="G31" s="7"/>
      <c r="H31" s="5" t="str">
        <f aca="false">IF(D31="معفى","معفى — يتعلّم للإدارة",IF(AND(E31="",F31=""),IF(D31="نعم","ناقص","اختياري"),IF(OR(E31="",F31=""),"ناقص",IF(E31&gt;F31,"الأقل أكبر من الأعلى",IF(E31&lt;=0,"السعر لازم يكون أكبر من صفر","تمام")))))</f>
        <v>ناقص</v>
      </c>
    </row>
    <row r="32" customFormat="false" ht="15" hidden="false" customHeight="false" outlineLevel="0" collapsed="false">
      <c r="A32" s="5" t="s">
        <v>46</v>
      </c>
      <c r="B32" s="5" t="s">
        <v>51</v>
      </c>
      <c r="C32" s="5" t="s">
        <v>19</v>
      </c>
      <c r="D32" s="5" t="s">
        <v>19</v>
      </c>
      <c r="E32" s="6"/>
      <c r="F32" s="6"/>
      <c r="G32" s="7"/>
      <c r="H32" s="5" t="str">
        <f aca="false">IF(D32="معفى","معفى — يتعلّم للإدارة",IF(AND(E32="",F32=""),IF(D32="نعم","ناقص","اختياري"),IF(OR(E32="",F32=""),"ناقص",IF(E32&gt;F32,"الأقل أكبر من الأعلى",IF(E32&lt;=0,"السعر لازم يكون أكبر من صفر","تمام")))))</f>
        <v>ناقص</v>
      </c>
    </row>
    <row r="33" customFormat="false" ht="15" hidden="false" customHeight="false" outlineLevel="0" collapsed="false">
      <c r="A33" s="5" t="s">
        <v>46</v>
      </c>
      <c r="B33" s="5" t="s">
        <v>52</v>
      </c>
      <c r="C33" s="5" t="s">
        <v>19</v>
      </c>
      <c r="D33" s="5" t="s">
        <v>19</v>
      </c>
      <c r="E33" s="6"/>
      <c r="F33" s="6"/>
      <c r="G33" s="7"/>
      <c r="H33" s="5" t="str">
        <f aca="false">IF(D33="معفى","معفى — يتعلّم للإدارة",IF(AND(E33="",F33=""),IF(D33="نعم","ناقص","اختياري"),IF(OR(E33="",F33=""),"ناقص",IF(E33&gt;F33,"الأقل أكبر من الأعلى",IF(E33&lt;=0,"السعر لازم يكون أكبر من صفر","تمام")))))</f>
        <v>ناقص</v>
      </c>
    </row>
    <row r="34" customFormat="false" ht="15" hidden="false" customHeight="false" outlineLevel="0" collapsed="false">
      <c r="A34" s="8" t="s">
        <v>46</v>
      </c>
      <c r="B34" s="8" t="s">
        <v>27</v>
      </c>
      <c r="C34" s="8" t="s">
        <v>19</v>
      </c>
      <c r="D34" s="8" t="s">
        <v>28</v>
      </c>
      <c r="E34" s="9"/>
      <c r="F34" s="9"/>
      <c r="G34" s="10"/>
      <c r="H34" s="5" t="str">
        <f aca="false">IF(D34="معفى","معفى — يتعلّم للإدارة",IF(AND(E34="",F34=""),IF(D34="نعم","ناقص","اختياري"),IF(OR(E34="",F34=""),"ناقص",IF(E34&gt;F34,"الأقل أكبر من الأعلى",IF(E34&lt;=0,"السعر لازم يكون أكبر من صفر","تمام")))))</f>
        <v>معفى — يتعلّم للإدارة</v>
      </c>
    </row>
    <row r="35" customFormat="false" ht="15" hidden="false" customHeight="false" outlineLevel="0" collapsed="false">
      <c r="A35" s="5" t="s">
        <v>53</v>
      </c>
      <c r="B35" s="5" t="s">
        <v>54</v>
      </c>
      <c r="C35" s="5" t="s">
        <v>19</v>
      </c>
      <c r="D35" s="5" t="s">
        <v>19</v>
      </c>
      <c r="E35" s="6"/>
      <c r="F35" s="6"/>
      <c r="G35" s="7"/>
      <c r="H35" s="5" t="str">
        <f aca="false">IF(D35="معفى","معفى — يتعلّم للإدارة",IF(AND(E35="",F35=""),IF(D35="نعم","ناقص","اختياري"),IF(OR(E35="",F35=""),"ناقص",IF(E35&gt;F35,"الأقل أكبر من الأعلى",IF(E35&lt;=0,"السعر لازم يكون أكبر من صفر","تمام")))))</f>
        <v>ناقص</v>
      </c>
    </row>
    <row r="36" customFormat="false" ht="15" hidden="false" customHeight="false" outlineLevel="0" collapsed="false">
      <c r="A36" s="5" t="s">
        <v>53</v>
      </c>
      <c r="B36" s="5" t="s">
        <v>55</v>
      </c>
      <c r="C36" s="5" t="s">
        <v>19</v>
      </c>
      <c r="D36" s="5" t="s">
        <v>19</v>
      </c>
      <c r="E36" s="6"/>
      <c r="F36" s="6"/>
      <c r="G36" s="7"/>
      <c r="H36" s="5" t="str">
        <f aca="false">IF(D36="معفى","معفى — يتعلّم للإدارة",IF(AND(E36="",F36=""),IF(D36="نعم","ناقص","اختياري"),IF(OR(E36="",F36=""),"ناقص",IF(E36&gt;F36,"الأقل أكبر من الأعلى",IF(E36&lt;=0,"السعر لازم يكون أكبر من صفر","تمام")))))</f>
        <v>ناقص</v>
      </c>
    </row>
    <row r="37" customFormat="false" ht="15" hidden="false" customHeight="false" outlineLevel="0" collapsed="false">
      <c r="A37" s="5" t="s">
        <v>53</v>
      </c>
      <c r="B37" s="5" t="s">
        <v>56</v>
      </c>
      <c r="C37" s="5" t="s">
        <v>19</v>
      </c>
      <c r="D37" s="5" t="s">
        <v>19</v>
      </c>
      <c r="E37" s="6"/>
      <c r="F37" s="6"/>
      <c r="G37" s="7"/>
      <c r="H37" s="5" t="str">
        <f aca="false">IF(D37="معفى","معفى — يتعلّم للإدارة",IF(AND(E37="",F37=""),IF(D37="نعم","ناقص","اختياري"),IF(OR(E37="",F37=""),"ناقص",IF(E37&gt;F37,"الأقل أكبر من الأعلى",IF(E37&lt;=0,"السعر لازم يكون أكبر من صفر","تمام")))))</f>
        <v>ناقص</v>
      </c>
    </row>
    <row r="38" customFormat="false" ht="15" hidden="false" customHeight="false" outlineLevel="0" collapsed="false">
      <c r="A38" s="5" t="s">
        <v>53</v>
      </c>
      <c r="B38" s="5" t="s">
        <v>57</v>
      </c>
      <c r="C38" s="5" t="s">
        <v>19</v>
      </c>
      <c r="D38" s="5" t="s">
        <v>19</v>
      </c>
      <c r="E38" s="6"/>
      <c r="F38" s="6"/>
      <c r="G38" s="7"/>
      <c r="H38" s="5" t="str">
        <f aca="false">IF(D38="معفى","معفى — يتعلّم للإدارة",IF(AND(E38="",F38=""),IF(D38="نعم","ناقص","اختياري"),IF(OR(E38="",F38=""),"ناقص",IF(E38&gt;F38,"الأقل أكبر من الأعلى",IF(E38&lt;=0,"السعر لازم يكون أكبر من صفر","تمام")))))</f>
        <v>ناقص</v>
      </c>
    </row>
    <row r="39" customFormat="false" ht="15" hidden="false" customHeight="false" outlineLevel="0" collapsed="false">
      <c r="A39" s="5" t="s">
        <v>53</v>
      </c>
      <c r="B39" s="5" t="s">
        <v>58</v>
      </c>
      <c r="C39" s="5" t="s">
        <v>19</v>
      </c>
      <c r="D39" s="5" t="s">
        <v>19</v>
      </c>
      <c r="E39" s="6"/>
      <c r="F39" s="6"/>
      <c r="G39" s="7"/>
      <c r="H39" s="5" t="str">
        <f aca="false">IF(D39="معفى","معفى — يتعلّم للإدارة",IF(AND(E39="",F39=""),IF(D39="نعم","ناقص","اختياري"),IF(OR(E39="",F39=""),"ناقص",IF(E39&gt;F39,"الأقل أكبر من الأعلى",IF(E39&lt;=0,"السعر لازم يكون أكبر من صفر","تمام")))))</f>
        <v>ناقص</v>
      </c>
    </row>
    <row r="40" customFormat="false" ht="15" hidden="false" customHeight="false" outlineLevel="0" collapsed="false">
      <c r="A40" s="5" t="s">
        <v>53</v>
      </c>
      <c r="B40" s="5" t="s">
        <v>59</v>
      </c>
      <c r="C40" s="5" t="s">
        <v>19</v>
      </c>
      <c r="D40" s="5" t="s">
        <v>19</v>
      </c>
      <c r="E40" s="6"/>
      <c r="F40" s="6"/>
      <c r="G40" s="7"/>
      <c r="H40" s="5" t="str">
        <f aca="false">IF(D40="معفى","معفى — يتعلّم للإدارة",IF(AND(E40="",F40=""),IF(D40="نعم","ناقص","اختياري"),IF(OR(E40="",F40=""),"ناقص",IF(E40&gt;F40,"الأقل أكبر من الأعلى",IF(E40&lt;=0,"السعر لازم يكون أكبر من صفر","تمام")))))</f>
        <v>ناقص</v>
      </c>
    </row>
    <row r="41" customFormat="false" ht="15" hidden="false" customHeight="false" outlineLevel="0" collapsed="false">
      <c r="A41" s="8" t="s">
        <v>53</v>
      </c>
      <c r="B41" s="8" t="s">
        <v>27</v>
      </c>
      <c r="C41" s="8" t="s">
        <v>19</v>
      </c>
      <c r="D41" s="8" t="s">
        <v>28</v>
      </c>
      <c r="E41" s="9"/>
      <c r="F41" s="9"/>
      <c r="G41" s="10"/>
      <c r="H41" s="5" t="str">
        <f aca="false">IF(D41="معفى","معفى — يتعلّم للإدارة",IF(AND(E41="",F41=""),IF(D41="نعم","ناقص","اختياري"),IF(OR(E41="",F41=""),"ناقص",IF(E41&gt;F41,"الأقل أكبر من الأعلى",IF(E41&lt;=0,"السعر لازم يكون أكبر من صفر","تمام")))))</f>
        <v>معفى — يتعلّم للإدارة</v>
      </c>
    </row>
    <row r="42" customFormat="false" ht="15" hidden="false" customHeight="false" outlineLevel="0" collapsed="false">
      <c r="A42" s="5" t="s">
        <v>60</v>
      </c>
      <c r="B42" s="5" t="s">
        <v>61</v>
      </c>
      <c r="C42" s="5" t="s">
        <v>19</v>
      </c>
      <c r="D42" s="5" t="s">
        <v>19</v>
      </c>
      <c r="E42" s="6"/>
      <c r="F42" s="6"/>
      <c r="G42" s="7"/>
      <c r="H42" s="5" t="str">
        <f aca="false">IF(D42="معفى","معفى — يتعلّم للإدارة",IF(AND(E42="",F42=""),IF(D42="نعم","ناقص","اختياري"),IF(OR(E42="",F42=""),"ناقص",IF(E42&gt;F42,"الأقل أكبر من الأعلى",IF(E42&lt;=0,"السعر لازم يكون أكبر من صفر","تمام")))))</f>
        <v>ناقص</v>
      </c>
    </row>
    <row r="43" customFormat="false" ht="15" hidden="false" customHeight="false" outlineLevel="0" collapsed="false">
      <c r="A43" s="5" t="s">
        <v>60</v>
      </c>
      <c r="B43" s="5" t="s">
        <v>62</v>
      </c>
      <c r="C43" s="5" t="s">
        <v>19</v>
      </c>
      <c r="D43" s="5" t="s">
        <v>19</v>
      </c>
      <c r="E43" s="6"/>
      <c r="F43" s="6"/>
      <c r="G43" s="7"/>
      <c r="H43" s="5" t="str">
        <f aca="false">IF(D43="معفى","معفى — يتعلّم للإدارة",IF(AND(E43="",F43=""),IF(D43="نعم","ناقص","اختياري"),IF(OR(E43="",F43=""),"ناقص",IF(E43&gt;F43,"الأقل أكبر من الأعلى",IF(E43&lt;=0,"السعر لازم يكون أكبر من صفر","تمام")))))</f>
        <v>ناقص</v>
      </c>
    </row>
    <row r="44" customFormat="false" ht="15" hidden="false" customHeight="false" outlineLevel="0" collapsed="false">
      <c r="A44" s="5" t="s">
        <v>60</v>
      </c>
      <c r="B44" s="5" t="s">
        <v>63</v>
      </c>
      <c r="C44" s="5" t="s">
        <v>19</v>
      </c>
      <c r="D44" s="5" t="s">
        <v>19</v>
      </c>
      <c r="E44" s="6"/>
      <c r="F44" s="6"/>
      <c r="G44" s="7"/>
      <c r="H44" s="5" t="str">
        <f aca="false">IF(D44="معفى","معفى — يتعلّم للإدارة",IF(AND(E44="",F44=""),IF(D44="نعم","ناقص","اختياري"),IF(OR(E44="",F44=""),"ناقص",IF(E44&gt;F44,"الأقل أكبر من الأعلى",IF(E44&lt;=0,"السعر لازم يكون أكبر من صفر","تمام")))))</f>
        <v>ناقص</v>
      </c>
    </row>
    <row r="45" customFormat="false" ht="15" hidden="false" customHeight="false" outlineLevel="0" collapsed="false">
      <c r="A45" s="5" t="s">
        <v>60</v>
      </c>
      <c r="B45" s="5" t="s">
        <v>64</v>
      </c>
      <c r="C45" s="5" t="s">
        <v>19</v>
      </c>
      <c r="D45" s="5" t="s">
        <v>19</v>
      </c>
      <c r="E45" s="6"/>
      <c r="F45" s="6"/>
      <c r="G45" s="7"/>
      <c r="H45" s="5" t="str">
        <f aca="false">IF(D45="معفى","معفى — يتعلّم للإدارة",IF(AND(E45="",F45=""),IF(D45="نعم","ناقص","اختياري"),IF(OR(E45="",F45=""),"ناقص",IF(E45&gt;F45,"الأقل أكبر من الأعلى",IF(E45&lt;=0,"السعر لازم يكون أكبر من صفر","تمام")))))</f>
        <v>ناقص</v>
      </c>
    </row>
    <row r="46" customFormat="false" ht="15" hidden="false" customHeight="false" outlineLevel="0" collapsed="false">
      <c r="A46" s="5" t="s">
        <v>60</v>
      </c>
      <c r="B46" s="5" t="s">
        <v>65</v>
      </c>
      <c r="C46" s="5" t="s">
        <v>19</v>
      </c>
      <c r="D46" s="5" t="s">
        <v>19</v>
      </c>
      <c r="E46" s="6"/>
      <c r="F46" s="6"/>
      <c r="G46" s="7"/>
      <c r="H46" s="5" t="str">
        <f aca="false">IF(D46="معفى","معفى — يتعلّم للإدارة",IF(AND(E46="",F46=""),IF(D46="نعم","ناقص","اختياري"),IF(OR(E46="",F46=""),"ناقص",IF(E46&gt;F46,"الأقل أكبر من الأعلى",IF(E46&lt;=0,"السعر لازم يكون أكبر من صفر","تمام")))))</f>
        <v>ناقص</v>
      </c>
    </row>
    <row r="47" customFormat="false" ht="15" hidden="false" customHeight="false" outlineLevel="0" collapsed="false">
      <c r="A47" s="8" t="s">
        <v>60</v>
      </c>
      <c r="B47" s="8" t="s">
        <v>27</v>
      </c>
      <c r="C47" s="8" t="s">
        <v>19</v>
      </c>
      <c r="D47" s="8" t="s">
        <v>28</v>
      </c>
      <c r="E47" s="9"/>
      <c r="F47" s="9"/>
      <c r="G47" s="10"/>
      <c r="H47" s="5" t="str">
        <f aca="false">IF(D47="معفى","معفى — يتعلّم للإدارة",IF(AND(E47="",F47=""),IF(D47="نعم","ناقص","اختياري"),IF(OR(E47="",F47=""),"ناقص",IF(E47&gt;F47,"الأقل أكبر من الأعلى",IF(E47&lt;=0,"السعر لازم يكون أكبر من صفر","تمام")))))</f>
        <v>معفى — يتعلّم للإدارة</v>
      </c>
    </row>
    <row r="48" customFormat="false" ht="15" hidden="false" customHeight="false" outlineLevel="0" collapsed="false">
      <c r="A48" s="5" t="s">
        <v>66</v>
      </c>
      <c r="B48" s="5" t="s">
        <v>67</v>
      </c>
      <c r="C48" s="5" t="s">
        <v>19</v>
      </c>
      <c r="D48" s="5" t="s">
        <v>19</v>
      </c>
      <c r="E48" s="6"/>
      <c r="F48" s="6"/>
      <c r="G48" s="7"/>
      <c r="H48" s="5" t="str">
        <f aca="false">IF(D48="معفى","معفى — يتعلّم للإدارة",IF(AND(E48="",F48=""),IF(D48="نعم","ناقص","اختياري"),IF(OR(E48="",F48=""),"ناقص",IF(E48&gt;F48,"الأقل أكبر من الأعلى",IF(E48&lt;=0,"السعر لازم يكون أكبر من صفر","تمام")))))</f>
        <v>ناقص</v>
      </c>
    </row>
    <row r="49" customFormat="false" ht="15" hidden="false" customHeight="false" outlineLevel="0" collapsed="false">
      <c r="A49" s="5" t="s">
        <v>66</v>
      </c>
      <c r="B49" s="5" t="s">
        <v>68</v>
      </c>
      <c r="C49" s="5" t="s">
        <v>19</v>
      </c>
      <c r="D49" s="5" t="s">
        <v>19</v>
      </c>
      <c r="E49" s="6"/>
      <c r="F49" s="6"/>
      <c r="G49" s="7"/>
      <c r="H49" s="5" t="str">
        <f aca="false">IF(D49="معفى","معفى — يتعلّم للإدارة",IF(AND(E49="",F49=""),IF(D49="نعم","ناقص","اختياري"),IF(OR(E49="",F49=""),"ناقص",IF(E49&gt;F49,"الأقل أكبر من الأعلى",IF(E49&lt;=0,"السعر لازم يكون أكبر من صفر","تمام")))))</f>
        <v>ناقص</v>
      </c>
    </row>
    <row r="50" customFormat="false" ht="15" hidden="false" customHeight="false" outlineLevel="0" collapsed="false">
      <c r="A50" s="5" t="s">
        <v>66</v>
      </c>
      <c r="B50" s="5" t="s">
        <v>69</v>
      </c>
      <c r="C50" s="5" t="s">
        <v>19</v>
      </c>
      <c r="D50" s="5" t="s">
        <v>19</v>
      </c>
      <c r="E50" s="6"/>
      <c r="F50" s="6"/>
      <c r="G50" s="7"/>
      <c r="H50" s="5" t="str">
        <f aca="false">IF(D50="معفى","معفى — يتعلّم للإدارة",IF(AND(E50="",F50=""),IF(D50="نعم","ناقص","اختياري"),IF(OR(E50="",F50=""),"ناقص",IF(E50&gt;F50,"الأقل أكبر من الأعلى",IF(E50&lt;=0,"السعر لازم يكون أكبر من صفر","تمام")))))</f>
        <v>ناقص</v>
      </c>
    </row>
    <row r="51" customFormat="false" ht="15" hidden="false" customHeight="false" outlineLevel="0" collapsed="false">
      <c r="A51" s="5" t="s">
        <v>66</v>
      </c>
      <c r="B51" s="5" t="s">
        <v>70</v>
      </c>
      <c r="C51" s="5" t="s">
        <v>19</v>
      </c>
      <c r="D51" s="5" t="s">
        <v>19</v>
      </c>
      <c r="E51" s="6"/>
      <c r="F51" s="6"/>
      <c r="G51" s="7"/>
      <c r="H51" s="5" t="str">
        <f aca="false">IF(D51="معفى","معفى — يتعلّم للإدارة",IF(AND(E51="",F51=""),IF(D51="نعم","ناقص","اختياري"),IF(OR(E51="",F51=""),"ناقص",IF(E51&gt;F51,"الأقل أكبر من الأعلى",IF(E51&lt;=0,"السعر لازم يكون أكبر من صفر","تمام")))))</f>
        <v>ناقص</v>
      </c>
    </row>
    <row r="52" customFormat="false" ht="15" hidden="false" customHeight="false" outlineLevel="0" collapsed="false">
      <c r="A52" s="5" t="s">
        <v>66</v>
      </c>
      <c r="B52" s="5" t="s">
        <v>71</v>
      </c>
      <c r="C52" s="5" t="s">
        <v>19</v>
      </c>
      <c r="D52" s="5" t="s">
        <v>19</v>
      </c>
      <c r="E52" s="6"/>
      <c r="F52" s="6"/>
      <c r="G52" s="7"/>
      <c r="H52" s="5" t="str">
        <f aca="false">IF(D52="معفى","معفى — يتعلّم للإدارة",IF(AND(E52="",F52=""),IF(D52="نعم","ناقص","اختياري"),IF(OR(E52="",F52=""),"ناقص",IF(E52&gt;F52,"الأقل أكبر من الأعلى",IF(E52&lt;=0,"السعر لازم يكون أكبر من صفر","تمام")))))</f>
        <v>ناقص</v>
      </c>
    </row>
    <row r="53" customFormat="false" ht="15" hidden="false" customHeight="false" outlineLevel="0" collapsed="false">
      <c r="A53" s="8" t="s">
        <v>66</v>
      </c>
      <c r="B53" s="8" t="s">
        <v>27</v>
      </c>
      <c r="C53" s="8" t="s">
        <v>19</v>
      </c>
      <c r="D53" s="8" t="s">
        <v>28</v>
      </c>
      <c r="E53" s="9"/>
      <c r="F53" s="9"/>
      <c r="G53" s="10"/>
      <c r="H53" s="5" t="str">
        <f aca="false">IF(D53="معفى","معفى — يتعلّم للإدارة",IF(AND(E53="",F53=""),IF(D53="نعم","ناقص","اختياري"),IF(OR(E53="",F53=""),"ناقص",IF(E53&gt;F53,"الأقل أكبر من الأعلى",IF(E53&lt;=0,"السعر لازم يكون أكبر من صفر","تمام")))))</f>
        <v>معفى — يتعلّم للإدارة</v>
      </c>
    </row>
    <row r="54" customFormat="false" ht="15" hidden="false" customHeight="false" outlineLevel="0" collapsed="false">
      <c r="A54" s="5" t="s">
        <v>72</v>
      </c>
      <c r="B54" s="5" t="s">
        <v>73</v>
      </c>
      <c r="C54" s="5" t="s">
        <v>19</v>
      </c>
      <c r="D54" s="5" t="s">
        <v>19</v>
      </c>
      <c r="E54" s="6"/>
      <c r="F54" s="6"/>
      <c r="G54" s="7"/>
      <c r="H54" s="5" t="str">
        <f aca="false">IF(D54="معفى","معفى — يتعلّم للإدارة",IF(AND(E54="",F54=""),IF(D54="نعم","ناقص","اختياري"),IF(OR(E54="",F54=""),"ناقص",IF(E54&gt;F54,"الأقل أكبر من الأعلى",IF(E54&lt;=0,"السعر لازم يكون أكبر من صفر","تمام")))))</f>
        <v>ناقص</v>
      </c>
    </row>
    <row r="55" customFormat="false" ht="15" hidden="false" customHeight="false" outlineLevel="0" collapsed="false">
      <c r="A55" s="5" t="s">
        <v>72</v>
      </c>
      <c r="B55" s="5" t="s">
        <v>74</v>
      </c>
      <c r="C55" s="5" t="s">
        <v>19</v>
      </c>
      <c r="D55" s="5" t="s">
        <v>19</v>
      </c>
      <c r="E55" s="6"/>
      <c r="F55" s="6"/>
      <c r="G55" s="7"/>
      <c r="H55" s="5" t="str">
        <f aca="false">IF(D55="معفى","معفى — يتعلّم للإدارة",IF(AND(E55="",F55=""),IF(D55="نعم","ناقص","اختياري"),IF(OR(E55="",F55=""),"ناقص",IF(E55&gt;F55,"الأقل أكبر من الأعلى",IF(E55&lt;=0,"السعر لازم يكون أكبر من صفر","تمام")))))</f>
        <v>ناقص</v>
      </c>
    </row>
    <row r="56" customFormat="false" ht="15" hidden="false" customHeight="false" outlineLevel="0" collapsed="false">
      <c r="A56" s="5" t="s">
        <v>72</v>
      </c>
      <c r="B56" s="5" t="s">
        <v>75</v>
      </c>
      <c r="C56" s="5" t="s">
        <v>19</v>
      </c>
      <c r="D56" s="5" t="s">
        <v>19</v>
      </c>
      <c r="E56" s="6"/>
      <c r="F56" s="6"/>
      <c r="G56" s="7"/>
      <c r="H56" s="5" t="str">
        <f aca="false">IF(D56="معفى","معفى — يتعلّم للإدارة",IF(AND(E56="",F56=""),IF(D56="نعم","ناقص","اختياري"),IF(OR(E56="",F56=""),"ناقص",IF(E56&gt;F56,"الأقل أكبر من الأعلى",IF(E56&lt;=0,"السعر لازم يكون أكبر من صفر","تمام")))))</f>
        <v>ناقص</v>
      </c>
    </row>
    <row r="57" customFormat="false" ht="15" hidden="false" customHeight="false" outlineLevel="0" collapsed="false">
      <c r="A57" s="5" t="s">
        <v>72</v>
      </c>
      <c r="B57" s="5" t="s">
        <v>76</v>
      </c>
      <c r="C57" s="5" t="s">
        <v>19</v>
      </c>
      <c r="D57" s="5" t="s">
        <v>19</v>
      </c>
      <c r="E57" s="6"/>
      <c r="F57" s="6"/>
      <c r="G57" s="7"/>
      <c r="H57" s="5" t="str">
        <f aca="false">IF(D57="معفى","معفى — يتعلّم للإدارة",IF(AND(E57="",F57=""),IF(D57="نعم","ناقص","اختياري"),IF(OR(E57="",F57=""),"ناقص",IF(E57&gt;F57,"الأقل أكبر من الأعلى",IF(E57&lt;=0,"السعر لازم يكون أكبر من صفر","تمام")))))</f>
        <v>ناقص</v>
      </c>
    </row>
    <row r="58" customFormat="false" ht="15" hidden="false" customHeight="false" outlineLevel="0" collapsed="false">
      <c r="A58" s="8" t="s">
        <v>72</v>
      </c>
      <c r="B58" s="8" t="s">
        <v>27</v>
      </c>
      <c r="C58" s="8" t="s">
        <v>19</v>
      </c>
      <c r="D58" s="8" t="s">
        <v>28</v>
      </c>
      <c r="E58" s="9"/>
      <c r="F58" s="9"/>
      <c r="G58" s="10"/>
      <c r="H58" s="5" t="str">
        <f aca="false">IF(D58="معفى","معفى — يتعلّم للإدارة",IF(AND(E58="",F58=""),IF(D58="نعم","ناقص","اختياري"),IF(OR(E58="",F58=""),"ناقص",IF(E58&gt;F58,"الأقل أكبر من الأعلى",IF(E58&lt;=0,"السعر لازم يكون أكبر من صفر","تمام")))))</f>
        <v>معفى — يتعلّم للإدارة</v>
      </c>
    </row>
    <row r="59" customFormat="false" ht="15" hidden="false" customHeight="false" outlineLevel="0" collapsed="false">
      <c r="A59" s="5" t="s">
        <v>77</v>
      </c>
      <c r="B59" s="5" t="s">
        <v>78</v>
      </c>
      <c r="C59" s="5" t="s">
        <v>79</v>
      </c>
      <c r="D59" s="5" t="s">
        <v>80</v>
      </c>
      <c r="E59" s="6"/>
      <c r="F59" s="6"/>
      <c r="G59" s="7"/>
      <c r="H59" s="5" t="str">
        <f aca="false">IF(D59="معفى","معفى — يتعلّم للإدارة",IF(AND(E59="",F59=""),IF(D59="نعم","ناقص","اختياري"),IF(OR(E59="",F59=""),"ناقص",IF(E59&gt;F59,"الأقل أكبر من الأعلى",IF(E59&lt;=0,"السعر لازم يكون أكبر من صفر","تمام")))))</f>
        <v>اختياري</v>
      </c>
    </row>
    <row r="60" customFormat="false" ht="15" hidden="false" customHeight="false" outlineLevel="0" collapsed="false">
      <c r="A60" s="5" t="s">
        <v>77</v>
      </c>
      <c r="B60" s="5" t="s">
        <v>81</v>
      </c>
      <c r="C60" s="5" t="s">
        <v>79</v>
      </c>
      <c r="D60" s="5" t="s">
        <v>80</v>
      </c>
      <c r="E60" s="6"/>
      <c r="F60" s="6"/>
      <c r="G60" s="7"/>
      <c r="H60" s="5" t="str">
        <f aca="false">IF(D60="معفى","معفى — يتعلّم للإدارة",IF(AND(E60="",F60=""),IF(D60="نعم","ناقص","اختياري"),IF(OR(E60="",F60=""),"ناقص",IF(E60&gt;F60,"الأقل أكبر من الأعلى",IF(E60&lt;=0,"السعر لازم يكون أكبر من صفر","تمام")))))</f>
        <v>اختياري</v>
      </c>
    </row>
    <row r="61" customFormat="false" ht="15" hidden="false" customHeight="false" outlineLevel="0" collapsed="false">
      <c r="A61" s="5" t="s">
        <v>77</v>
      </c>
      <c r="B61" s="5" t="s">
        <v>82</v>
      </c>
      <c r="C61" s="5" t="s">
        <v>79</v>
      </c>
      <c r="D61" s="5" t="s">
        <v>80</v>
      </c>
      <c r="E61" s="6"/>
      <c r="F61" s="6"/>
      <c r="G61" s="7"/>
      <c r="H61" s="5" t="str">
        <f aca="false">IF(D61="معفى","معفى — يتعلّم للإدارة",IF(AND(E61="",F61=""),IF(D61="نعم","ناقص","اختياري"),IF(OR(E61="",F61=""),"ناقص",IF(E61&gt;F61,"الأقل أكبر من الأعلى",IF(E61&lt;=0,"السعر لازم يكون أكبر من صفر","تمام")))))</f>
        <v>اختياري</v>
      </c>
    </row>
    <row r="62" customFormat="false" ht="15" hidden="false" customHeight="false" outlineLevel="0" collapsed="false">
      <c r="A62" s="8" t="s">
        <v>77</v>
      </c>
      <c r="B62" s="8" t="s">
        <v>27</v>
      </c>
      <c r="C62" s="8" t="s">
        <v>79</v>
      </c>
      <c r="D62" s="8" t="s">
        <v>28</v>
      </c>
      <c r="E62" s="9"/>
      <c r="F62" s="9"/>
      <c r="G62" s="10"/>
      <c r="H62" s="5" t="str">
        <f aca="false">IF(D62="معفى","معفى — يتعلّم للإدارة",IF(AND(E62="",F62=""),IF(D62="نعم","ناقص","اختياري"),IF(OR(E62="",F62=""),"ناقص",IF(E62&gt;F62,"الأقل أكبر من الأعلى",IF(E62&lt;=0,"السعر لازم يكون أكبر من صفر","تمام")))))</f>
        <v>معفى — يتعلّم للإدارة</v>
      </c>
    </row>
    <row r="63" customFormat="false" ht="15" hidden="false" customHeight="false" outlineLevel="0" collapsed="false">
      <c r="A63" s="5" t="s">
        <v>83</v>
      </c>
      <c r="B63" s="5" t="s">
        <v>84</v>
      </c>
      <c r="C63" s="5" t="s">
        <v>79</v>
      </c>
      <c r="D63" s="5" t="s">
        <v>80</v>
      </c>
      <c r="E63" s="6"/>
      <c r="F63" s="6"/>
      <c r="G63" s="7"/>
      <c r="H63" s="5" t="str">
        <f aca="false">IF(D63="معفى","معفى — يتعلّم للإدارة",IF(AND(E63="",F63=""),IF(D63="نعم","ناقص","اختياري"),IF(OR(E63="",F63=""),"ناقص",IF(E63&gt;F63,"الأقل أكبر من الأعلى",IF(E63&lt;=0,"السعر لازم يكون أكبر من صفر","تمام")))))</f>
        <v>اختياري</v>
      </c>
    </row>
    <row r="64" customFormat="false" ht="15" hidden="false" customHeight="false" outlineLevel="0" collapsed="false">
      <c r="A64" s="5" t="s">
        <v>83</v>
      </c>
      <c r="B64" s="5" t="s">
        <v>85</v>
      </c>
      <c r="C64" s="5" t="s">
        <v>79</v>
      </c>
      <c r="D64" s="5" t="s">
        <v>80</v>
      </c>
      <c r="E64" s="6"/>
      <c r="F64" s="6"/>
      <c r="G64" s="7"/>
      <c r="H64" s="5" t="str">
        <f aca="false">IF(D64="معفى","معفى — يتعلّم للإدارة",IF(AND(E64="",F64=""),IF(D64="نعم","ناقص","اختياري"),IF(OR(E64="",F64=""),"ناقص",IF(E64&gt;F64,"الأقل أكبر من الأعلى",IF(E64&lt;=0,"السعر لازم يكون أكبر من صفر","تمام")))))</f>
        <v>اختياري</v>
      </c>
    </row>
    <row r="65" customFormat="false" ht="15" hidden="false" customHeight="false" outlineLevel="0" collapsed="false">
      <c r="A65" s="5" t="s">
        <v>83</v>
      </c>
      <c r="B65" s="5" t="s">
        <v>86</v>
      </c>
      <c r="C65" s="5" t="s">
        <v>79</v>
      </c>
      <c r="D65" s="5" t="s">
        <v>80</v>
      </c>
      <c r="E65" s="6"/>
      <c r="F65" s="6"/>
      <c r="G65" s="7"/>
      <c r="H65" s="5" t="str">
        <f aca="false">IF(D65="معفى","معفى — يتعلّم للإدارة",IF(AND(E65="",F65=""),IF(D65="نعم","ناقص","اختياري"),IF(OR(E65="",F65=""),"ناقص",IF(E65&gt;F65,"الأقل أكبر من الأعلى",IF(E65&lt;=0,"السعر لازم يكون أكبر من صفر","تمام")))))</f>
        <v>اختياري</v>
      </c>
    </row>
    <row r="66" customFormat="false" ht="15" hidden="false" customHeight="false" outlineLevel="0" collapsed="false">
      <c r="A66" s="8" t="s">
        <v>83</v>
      </c>
      <c r="B66" s="8" t="s">
        <v>27</v>
      </c>
      <c r="C66" s="8" t="s">
        <v>79</v>
      </c>
      <c r="D66" s="8" t="s">
        <v>28</v>
      </c>
      <c r="E66" s="9"/>
      <c r="F66" s="9"/>
      <c r="G66" s="10"/>
      <c r="H66" s="5" t="str">
        <f aca="false">IF(D66="معفى","معفى — يتعلّم للإدارة",IF(AND(E66="",F66=""),IF(D66="نعم","ناقص","اختياري"),IF(OR(E66="",F66=""),"ناقص",IF(E66&gt;F66,"الأقل أكبر من الأعلى",IF(E66&lt;=0,"السعر لازم يكون أكبر من صفر","تمام")))))</f>
        <v>معفى — يتعلّم للإدارة</v>
      </c>
    </row>
    <row r="67" customFormat="false" ht="15" hidden="false" customHeight="false" outlineLevel="0" collapsed="false">
      <c r="A67" s="5" t="s">
        <v>87</v>
      </c>
      <c r="B67" s="5" t="s">
        <v>88</v>
      </c>
      <c r="C67" s="5" t="s">
        <v>79</v>
      </c>
      <c r="D67" s="5" t="s">
        <v>80</v>
      </c>
      <c r="E67" s="6"/>
      <c r="F67" s="6"/>
      <c r="G67" s="7"/>
      <c r="H67" s="5" t="str">
        <f aca="false">IF(D67="معفى","معفى — يتعلّم للإدارة",IF(AND(E67="",F67=""),IF(D67="نعم","ناقص","اختياري"),IF(OR(E67="",F67=""),"ناقص",IF(E67&gt;F67,"الأقل أكبر من الأعلى",IF(E67&lt;=0,"السعر لازم يكون أكبر من صفر","تمام")))))</f>
        <v>اختياري</v>
      </c>
    </row>
    <row r="68" customFormat="false" ht="15" hidden="false" customHeight="false" outlineLevel="0" collapsed="false">
      <c r="A68" s="5" t="s">
        <v>87</v>
      </c>
      <c r="B68" s="5" t="s">
        <v>89</v>
      </c>
      <c r="C68" s="5" t="s">
        <v>79</v>
      </c>
      <c r="D68" s="5" t="s">
        <v>80</v>
      </c>
      <c r="E68" s="6"/>
      <c r="F68" s="6"/>
      <c r="G68" s="7"/>
      <c r="H68" s="5" t="str">
        <f aca="false">IF(D68="معفى","معفى — يتعلّم للإدارة",IF(AND(E68="",F68=""),IF(D68="نعم","ناقص","اختياري"),IF(OR(E68="",F68=""),"ناقص",IF(E68&gt;F68,"الأقل أكبر من الأعلى",IF(E68&lt;=0,"السعر لازم يكون أكبر من صفر","تمام")))))</f>
        <v>اختياري</v>
      </c>
    </row>
    <row r="69" customFormat="false" ht="15" hidden="false" customHeight="false" outlineLevel="0" collapsed="false">
      <c r="A69" s="5" t="s">
        <v>87</v>
      </c>
      <c r="B69" s="5" t="s">
        <v>90</v>
      </c>
      <c r="C69" s="5" t="s">
        <v>79</v>
      </c>
      <c r="D69" s="5" t="s">
        <v>80</v>
      </c>
      <c r="E69" s="6"/>
      <c r="F69" s="6"/>
      <c r="G69" s="7"/>
      <c r="H69" s="5" t="str">
        <f aca="false">IF(D69="معفى","معفى — يتعلّم للإدارة",IF(AND(E69="",F69=""),IF(D69="نعم","ناقص","اختياري"),IF(OR(E69="",F69=""),"ناقص",IF(E69&gt;F69,"الأقل أكبر من الأعلى",IF(E69&lt;=0,"السعر لازم يكون أكبر من صفر","تمام")))))</f>
        <v>اختياري</v>
      </c>
    </row>
    <row r="70" customFormat="false" ht="15" hidden="false" customHeight="false" outlineLevel="0" collapsed="false">
      <c r="A70" s="8" t="s">
        <v>87</v>
      </c>
      <c r="B70" s="8" t="s">
        <v>27</v>
      </c>
      <c r="C70" s="8" t="s">
        <v>79</v>
      </c>
      <c r="D70" s="8" t="s">
        <v>28</v>
      </c>
      <c r="E70" s="9"/>
      <c r="F70" s="9"/>
      <c r="G70" s="10"/>
      <c r="H70" s="5" t="str">
        <f aca="false">IF(D70="معفى","معفى — يتعلّم للإدارة",IF(AND(E70="",F70=""),IF(D70="نعم","ناقص","اختياري"),IF(OR(E70="",F70=""),"ناقص",IF(E70&gt;F70,"الأقل أكبر من الأعلى",IF(E70&lt;=0,"السعر لازم يكون أكبر من صفر","تمام")))))</f>
        <v>معفى — يتعلّم للإدارة</v>
      </c>
    </row>
    <row r="71" customFormat="false" ht="15" hidden="false" customHeight="false" outlineLevel="0" collapsed="false">
      <c r="A71" s="5" t="s">
        <v>91</v>
      </c>
      <c r="B71" s="5" t="s">
        <v>92</v>
      </c>
      <c r="C71" s="5" t="s">
        <v>79</v>
      </c>
      <c r="D71" s="5" t="s">
        <v>80</v>
      </c>
      <c r="E71" s="6"/>
      <c r="F71" s="6"/>
      <c r="G71" s="7"/>
      <c r="H71" s="5" t="str">
        <f aca="false">IF(D71="معفى","معفى — يتعلّم للإدارة",IF(AND(E71="",F71=""),IF(D71="نعم","ناقص","اختياري"),IF(OR(E71="",F71=""),"ناقص",IF(E71&gt;F71,"الأقل أكبر من الأعلى",IF(E71&lt;=0,"السعر لازم يكون أكبر من صفر","تمام")))))</f>
        <v>اختياري</v>
      </c>
    </row>
    <row r="72" customFormat="false" ht="15" hidden="false" customHeight="false" outlineLevel="0" collapsed="false">
      <c r="A72" s="8" t="s">
        <v>91</v>
      </c>
      <c r="B72" s="8" t="s">
        <v>27</v>
      </c>
      <c r="C72" s="8" t="s">
        <v>79</v>
      </c>
      <c r="D72" s="8" t="s">
        <v>28</v>
      </c>
      <c r="E72" s="9"/>
      <c r="F72" s="9"/>
      <c r="G72" s="10"/>
      <c r="H72" s="5" t="str">
        <f aca="false">IF(D72="معفى","معفى — يتعلّم للإدارة",IF(AND(E72="",F72=""),IF(D72="نعم","ناقص","اختياري"),IF(OR(E72="",F72=""),"ناقص",IF(E72&gt;F72,"الأقل أكبر من الأعلى",IF(E72&lt;=0,"السعر لازم يكون أكبر من صفر","تمام")))))</f>
        <v>معفى — يتعلّم للإدارة</v>
      </c>
    </row>
    <row r="73" customFormat="false" ht="15" hidden="false" customHeight="false" outlineLevel="0" collapsed="false">
      <c r="A73" s="5" t="s">
        <v>93</v>
      </c>
      <c r="B73" s="5" t="s">
        <v>94</v>
      </c>
      <c r="C73" s="5" t="s">
        <v>79</v>
      </c>
      <c r="D73" s="5" t="s">
        <v>80</v>
      </c>
      <c r="E73" s="6"/>
      <c r="F73" s="6"/>
      <c r="G73" s="7"/>
      <c r="H73" s="5" t="str">
        <f aca="false">IF(D73="معفى","معفى — يتعلّم للإدارة",IF(AND(E73="",F73=""),IF(D73="نعم","ناقص","اختياري"),IF(OR(E73="",F73=""),"ناقص",IF(E73&gt;F73,"الأقل أكبر من الأعلى",IF(E73&lt;=0,"السعر لازم يكون أكبر من صفر","تمام")))))</f>
        <v>اختياري</v>
      </c>
    </row>
    <row r="74" customFormat="false" ht="15" hidden="false" customHeight="false" outlineLevel="0" collapsed="false">
      <c r="A74" s="5" t="s">
        <v>93</v>
      </c>
      <c r="B74" s="5" t="s">
        <v>95</v>
      </c>
      <c r="C74" s="5" t="s">
        <v>79</v>
      </c>
      <c r="D74" s="5" t="s">
        <v>80</v>
      </c>
      <c r="E74" s="6"/>
      <c r="F74" s="6"/>
      <c r="G74" s="7"/>
      <c r="H74" s="5" t="str">
        <f aca="false">IF(D74="معفى","معفى — يتعلّم للإدارة",IF(AND(E74="",F74=""),IF(D74="نعم","ناقص","اختياري"),IF(OR(E74="",F74=""),"ناقص",IF(E74&gt;F74,"الأقل أكبر من الأعلى",IF(E74&lt;=0,"السعر لازم يكون أكبر من صفر","تمام")))))</f>
        <v>اختياري</v>
      </c>
    </row>
    <row r="75" customFormat="false" ht="15" hidden="false" customHeight="false" outlineLevel="0" collapsed="false">
      <c r="A75" s="8" t="s">
        <v>93</v>
      </c>
      <c r="B75" s="8" t="s">
        <v>27</v>
      </c>
      <c r="C75" s="8" t="s">
        <v>79</v>
      </c>
      <c r="D75" s="8" t="s">
        <v>28</v>
      </c>
      <c r="E75" s="9"/>
      <c r="F75" s="9"/>
      <c r="G75" s="10"/>
      <c r="H75" s="5" t="str">
        <f aca="false">IF(D75="معفى","معفى — يتعلّم للإدارة",IF(AND(E75="",F75=""),IF(D75="نعم","ناقص","اختياري"),IF(OR(E75="",F75=""),"ناقص",IF(E75&gt;F75,"الأقل أكبر من الأعلى",IF(E75&lt;=0,"السعر لازم يكون أكبر من صفر","تمام")))))</f>
        <v>معفى — يتعلّم للإدارة</v>
      </c>
    </row>
    <row r="77" customFormat="false" ht="15" hidden="false" customHeight="false" outlineLevel="0" collapsed="false">
      <c r="A77" s="11" t="s">
        <v>96</v>
      </c>
      <c r="B77" s="12" t="n">
        <f aca="false">COUNTIF(D2:D75,"نعم")</f>
        <v>49</v>
      </c>
    </row>
    <row r="78" customFormat="false" ht="15" hidden="false" customHeight="false" outlineLevel="0" collapsed="false">
      <c r="A78" s="11" t="s">
        <v>97</v>
      </c>
      <c r="B78" s="12" t="n">
        <f aca="false">COUNTIFS(D2:D75,"نعم",H2:H75,"تمام")</f>
        <v>0</v>
      </c>
    </row>
    <row r="79" customFormat="false" ht="15" hidden="false" customHeight="false" outlineLevel="0" collapsed="false">
      <c r="A79" s="11" t="s">
        <v>98</v>
      </c>
      <c r="B79" s="12" t="n">
        <f aca="false">B77-B78</f>
        <v>49</v>
      </c>
    </row>
    <row r="80" customFormat="false" ht="15" hidden="false" customHeight="false" outlineLevel="0" collapsed="false">
      <c r="A80" s="13" t="s">
        <v>99</v>
      </c>
    </row>
  </sheetData>
  <conditionalFormatting sqref="H2:H75">
    <cfRule type="expression" priority="2" aboveAverage="0" equalAverage="0" bottom="0" percent="0" rank="0" text="" dxfId="0">
      <formula>OR(H2="ناقص",H2="الأقل أكبر من الأعلى",H2="السعر لازم يكون أكبر من صفر")</formula>
    </cfRule>
    <cfRule type="expression" priority="3" aboveAverage="0" equalAverage="0" bottom="0" percent="0" rank="0" text="" dxfId="1">
      <formula>H2="تمام"</formula>
    </cfRule>
  </conditionalFormatting>
  <dataValidations count="1">
    <dataValidation allowBlank="true" error="اكتب رقم صحيح بالجنيه أكبر من صفر" errorStyle="stop" errorTitle="قيمة غير صالحة" operator="between" showDropDown="false" showErrorMessage="true" showInputMessage="false" sqref="E2:F75" type="whole">
      <formula1>1</formula1>
      <formula2>1000000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2026-09-25T07:43:16Z</dcterms:created>
  <dc:creator>openpyxl</dc:creator>
  <dc:description/>
  <dc:language>en-US</dc:language>
  <cp:lastModifiedBy/>
  <dcterms:modified xsi:type="dcterms:W3CDTF">2026-09-25T07:43:16Z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